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c/Documents/"/>
    </mc:Choice>
  </mc:AlternateContent>
  <xr:revisionPtr revIDLastSave="0" documentId="13_ncr:1_{4CB647E7-11C5-F04B-9423-68A8066C2527}" xr6:coauthVersionLast="47" xr6:coauthVersionMax="47" xr10:uidLastSave="{00000000-0000-0000-0000-000000000000}"/>
  <bookViews>
    <workbookView xWindow="380" yWindow="500" windowWidth="28040" windowHeight="16280" activeTab="1" xr2:uid="{8A26B0A4-6779-654B-AC62-A05A0711A7BC}"/>
  </bookViews>
  <sheets>
    <sheet name="Dashboard_OgidiP4_SQLP1" sheetId="1" r:id="rId1"/>
    <sheet name="Dashboard_Chekaf_OgidiP4_SQLP1" sheetId="2" r:id="rId2"/>
    <sheet name="Sheet8" sheetId="10" r:id="rId3"/>
    <sheet name="Sheet6" sheetId="8" r:id="rId4"/>
    <sheet name="Sheet1" sheetId="7" r:id="rId5"/>
    <sheet name="Sheet7" sheetId="9" r:id="rId6"/>
    <sheet name="Sheet3" sheetId="4" r:id="rId7"/>
    <sheet name="Sheet2" sheetId="3" r:id="rId8"/>
    <sheet name="Sheet4" sheetId="5" r:id="rId9"/>
    <sheet name="Sheet9" sheetId="11" r:id="rId10"/>
    <sheet name="Sheet5" sheetId="6" r:id="rId11"/>
  </sheets>
  <definedNames>
    <definedName name="_xlchart.v1.0" hidden="1">Sheet4!$A$2:$A$19</definedName>
    <definedName name="_xlchart.v1.1" hidden="1">Sheet4!$B$1</definedName>
    <definedName name="_xlchart.v1.10" hidden="1">Sheet4!$A$2:$A$19</definedName>
    <definedName name="_xlchart.v1.11" hidden="1">Sheet4!$B$1</definedName>
    <definedName name="_xlchart.v1.12" hidden="1">Sheet4!$B$2:$B$19</definedName>
    <definedName name="_xlchart.v1.13" hidden="1">Sheet4!$C$1</definedName>
    <definedName name="_xlchart.v1.14" hidden="1">Sheet4!$C$2:$C$19</definedName>
    <definedName name="_xlchart.v1.15" hidden="1">Sheet4!$A$2:$A$19</definedName>
    <definedName name="_xlchart.v1.16" hidden="1">Sheet4!$B$1</definedName>
    <definedName name="_xlchart.v1.17" hidden="1">Sheet4!$B$2:$B$19</definedName>
    <definedName name="_xlchart.v1.18" hidden="1">Sheet4!$C$1</definedName>
    <definedName name="_xlchart.v1.19" hidden="1">Sheet4!$C$2:$C$19</definedName>
    <definedName name="_xlchart.v1.2" hidden="1">Sheet4!$B$2:$B$19</definedName>
    <definedName name="_xlchart.v1.20" hidden="1">Sheet4!$A$2:$A$19</definedName>
    <definedName name="_xlchart.v1.21" hidden="1">Sheet4!$B$1</definedName>
    <definedName name="_xlchart.v1.22" hidden="1">Sheet4!$B$2:$B$19</definedName>
    <definedName name="_xlchart.v1.23" hidden="1">Sheet4!$C$1</definedName>
    <definedName name="_xlchart.v1.24" hidden="1">Sheet4!$C$2:$C$19</definedName>
    <definedName name="_xlchart.v1.3" hidden="1">Sheet4!$C$1</definedName>
    <definedName name="_xlchart.v1.4" hidden="1">Sheet4!$C$2:$C$19</definedName>
    <definedName name="_xlchart.v1.5" hidden="1">Sheet4!$A$2:$A$19</definedName>
    <definedName name="_xlchart.v1.6" hidden="1">Sheet4!$B$1</definedName>
    <definedName name="_xlchart.v1.7" hidden="1">Sheet4!$B$2:$B$19</definedName>
    <definedName name="_xlchart.v1.8" hidden="1">Sheet4!$C$1</definedName>
    <definedName name="_xlchart.v1.9" hidden="1">Sheet4!$C$2:$C$19</definedName>
  </definedNames>
  <calcPr calcId="0"/>
</workbook>
</file>

<file path=xl/sharedStrings.xml><?xml version="1.0" encoding="utf-8"?>
<sst xmlns="http://schemas.openxmlformats.org/spreadsheetml/2006/main" count="137" uniqueCount="72">
  <si>
    <t>Question 3</t>
  </si>
  <si>
    <t>Question 4</t>
  </si>
  <si>
    <t>gender_clean</t>
  </si>
  <si>
    <t>age_group</t>
  </si>
  <si>
    <t>total_revenue</t>
  </si>
  <si>
    <t>purchase_count</t>
  </si>
  <si>
    <t>avg_order_value</t>
  </si>
  <si>
    <t>KPIs</t>
  </si>
  <si>
    <t>customer_id</t>
  </si>
  <si>
    <t>Female</t>
  </si>
  <si>
    <t>36-50</t>
  </si>
  <si>
    <t>Age group</t>
  </si>
  <si>
    <t>Male</t>
  </si>
  <si>
    <t>Total revenue</t>
  </si>
  <si>
    <t>26-35</t>
  </si>
  <si>
    <t>51-60</t>
  </si>
  <si>
    <t>18-25</t>
  </si>
  <si>
    <t>61+</t>
  </si>
  <si>
    <t>Revenue per Customer</t>
  </si>
  <si>
    <t>Purchase Frequency</t>
  </si>
  <si>
    <t>Average Order Value</t>
  </si>
  <si>
    <t>RFM Analysis</t>
  </si>
  <si>
    <t>Question 6</t>
  </si>
  <si>
    <t>Total order</t>
  </si>
  <si>
    <t>Question 5</t>
  </si>
  <si>
    <t>Avg. item per order</t>
  </si>
  <si>
    <t>Avg. spent per order</t>
  </si>
  <si>
    <t>Revenue by Period type</t>
  </si>
  <si>
    <t>purchase_behavior</t>
  </si>
  <si>
    <t>num_customers</t>
  </si>
  <si>
    <t>Mixed</t>
  </si>
  <si>
    <t>Frequent Small Buyer</t>
  </si>
  <si>
    <t>Bulk Buyer</t>
  </si>
  <si>
    <t>Question 1</t>
  </si>
  <si>
    <t>category_clean</t>
  </si>
  <si>
    <t>revenue</t>
  </si>
  <si>
    <t>total_cogs</t>
  </si>
  <si>
    <t>gross_profit</t>
  </si>
  <si>
    <t>profit_margin_pct</t>
  </si>
  <si>
    <t>clothing</t>
  </si>
  <si>
    <t>electronics</t>
  </si>
  <si>
    <t>beautiful</t>
  </si>
  <si>
    <t xml:space="preserve"> </t>
  </si>
  <si>
    <t>Dashboard for Chekafgham Retail Sales Performance &amp; Profitability Investigation</t>
  </si>
  <si>
    <t>Revenue, Gross Prifit, Gross Margin</t>
  </si>
  <si>
    <t>gross_margin</t>
  </si>
  <si>
    <t>83.4182302982421489</t>
  </si>
  <si>
    <t>83.0504397048418073</t>
  </si>
  <si>
    <t>76.7720471747931702</t>
  </si>
  <si>
    <t>83.6633963178294574</t>
  </si>
  <si>
    <t>84.9640280021540118</t>
  </si>
  <si>
    <t>83.5598761183757743</t>
  </si>
  <si>
    <t>82.7673185283394100</t>
  </si>
  <si>
    <t>83.7994892861108027</t>
  </si>
  <si>
    <t>83.7727447586074245</t>
  </si>
  <si>
    <t>77.3625148750495835</t>
  </si>
  <si>
    <t>72.7509812472743131</t>
  </si>
  <si>
    <t>76.5840872187427511</t>
  </si>
  <si>
    <t>Question 2: Category for Investment</t>
  </si>
  <si>
    <r>
      <rPr>
        <sz val="12"/>
        <color theme="9" tint="-0.249977111117893"/>
        <rFont val="Calibri (Body)"/>
      </rPr>
      <t>KPIs: Category, Sum of revunue, Sum of gross margi</t>
    </r>
    <r>
      <rPr>
        <sz val="12"/>
        <color theme="1"/>
        <rFont val="Calibri"/>
        <family val="2"/>
        <scheme val="minor"/>
      </rPr>
      <t>n</t>
    </r>
  </si>
  <si>
    <t>Row Labels</t>
  </si>
  <si>
    <t>Sum of revenue</t>
  </si>
  <si>
    <t>Sum of gross_profit</t>
  </si>
  <si>
    <t>Sum of total_cogs</t>
  </si>
  <si>
    <t>(blank)</t>
  </si>
  <si>
    <t>Grand Total</t>
  </si>
  <si>
    <t>Question 3: Most Valuable Customers</t>
  </si>
  <si>
    <t>KPIs: Total Revenue, Purchase Frequency, Average Order Value(AOV)</t>
  </si>
  <si>
    <t>Question 4: Demographics Purchase Behavior</t>
  </si>
  <si>
    <t>Question 5: Sales Trend over Period Type</t>
  </si>
  <si>
    <t>KPIs: Revunue by Hour, Month and Weekend</t>
  </si>
  <si>
    <t>Question 6: Bulk Vs Small Frequent Buyers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</si>
</sst>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4"/>
      <color theme="5" tint="-0.499984740745262"/>
      <name val="Calibri (Body)"/>
    </font>
    <font>
      <sz val="16"/>
      <color rgb="FFFFC000"/>
      <name val="Calibri (Body)"/>
    </font>
    <font>
      <sz val="14"/>
      <color rgb="FFFFC000"/>
      <name val="Calibri (Body)"/>
    </font>
    <font>
      <sz val="16"/>
      <color theme="9" tint="-0.249977111117893"/>
      <name val="Calibri (Body)"/>
    </font>
    <font>
      <sz val="12"/>
      <color theme="9" tint="-0.249977111117893"/>
      <name val="Calibri (Body)"/>
    </font>
    <font>
      <sz val="12"/>
      <color rgb="FF000000"/>
      <name val="Calibri"/>
      <family val="2"/>
      <scheme val="minor"/>
    </font>
    <font>
      <sz val="16"/>
      <color rgb="FFFF0000"/>
      <name val="Calibri (Body)"/>
    </font>
    <font>
      <sz val="12"/>
      <color rgb="FFFF0000"/>
      <name val="Calibri (Body)"/>
    </font>
    <font>
      <sz val="16"/>
      <color rgb="FF7030A0"/>
      <name val="Calibri (Body)"/>
    </font>
    <font>
      <sz val="16"/>
      <color rgb="FF0070C0"/>
      <name val="Calibri (Body)"/>
    </font>
    <font>
      <sz val="14"/>
      <color rgb="FF0070C0"/>
      <name val="Calibri (Body)"/>
    </font>
    <font>
      <sz val="14"/>
      <color rgb="FFC00000"/>
      <name val="Calibri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0" fillId="0" borderId="0" xfId="0" quotePrefix="1"/>
    <xf numFmtId="0" fontId="21" fillId="0" borderId="0" xfId="0" applyFont="1"/>
    <xf numFmtId="0" fontId="23" fillId="0" borderId="0" xfId="0" applyFont="1" applyAlignment="1">
      <alignment horizontal="right" readingOrder="1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32056801250911"/>
          <c:y val="5.7571558402341433E-2"/>
          <c:w val="0.66318036991785745"/>
          <c:h val="0.84240419681536804"/>
        </c:manualLayout>
      </c:layout>
      <c:barChart>
        <c:barDir val="col"/>
        <c:grouping val="clustered"/>
        <c:varyColors val="0"/>
        <c:ser>
          <c:idx val="0"/>
          <c:order val="0"/>
          <c:tx>
            <c:v>Sum of revenue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beautiful</c:v>
              </c:pt>
              <c:pt idx="1">
                <c:v>clothing</c:v>
              </c:pt>
              <c:pt idx="2">
                <c:v>electronics</c:v>
              </c:pt>
              <c:pt idx="3">
                <c:v>(blank)</c:v>
              </c:pt>
            </c:strLit>
          </c:cat>
          <c:val>
            <c:numLit>
              <c:formatCode>General</c:formatCode>
              <c:ptCount val="4"/>
              <c:pt idx="0">
                <c:v>286840</c:v>
              </c:pt>
              <c:pt idx="1">
                <c:v>311070</c:v>
              </c:pt>
              <c:pt idx="2">
                <c:v>313810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95E-7248-9165-88921E9ABBEC}"/>
            </c:ext>
          </c:extLst>
        </c:ser>
        <c:ser>
          <c:idx val="1"/>
          <c:order val="1"/>
          <c:tx>
            <c:v>Sum of gross_profit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beautiful</c:v>
              </c:pt>
              <c:pt idx="1">
                <c:v>clothing</c:v>
              </c:pt>
              <c:pt idx="2">
                <c:v>electronics</c:v>
              </c:pt>
              <c:pt idx="3">
                <c:v>(blank)</c:v>
              </c:pt>
            </c:strLit>
          </c:cat>
          <c:val>
            <c:numLit>
              <c:formatCode>General</c:formatCode>
              <c:ptCount val="4"/>
              <c:pt idx="0">
                <c:v>228630.15</c:v>
              </c:pt>
              <c:pt idx="1">
                <c:v>246679.5</c:v>
              </c:pt>
              <c:pt idx="2">
                <c:v>246647.65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5E-7248-9165-88921E9ABBEC}"/>
            </c:ext>
          </c:extLst>
        </c:ser>
        <c:ser>
          <c:idx val="2"/>
          <c:order val="2"/>
          <c:tx>
            <c:v>Sum of total_cogs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beautiful</c:v>
              </c:pt>
              <c:pt idx="1">
                <c:v>clothing</c:v>
              </c:pt>
              <c:pt idx="2">
                <c:v>electronics</c:v>
              </c:pt>
              <c:pt idx="3">
                <c:v>(blank)</c:v>
              </c:pt>
            </c:strLit>
          </c:cat>
          <c:val>
            <c:numLit>
              <c:formatCode>General</c:formatCode>
              <c:ptCount val="4"/>
              <c:pt idx="0">
                <c:v>58209.85</c:v>
              </c:pt>
              <c:pt idx="1">
                <c:v>64390.5</c:v>
              </c:pt>
              <c:pt idx="2">
                <c:v>67162.350000000006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495E-7248-9165-88921E9AB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0598704"/>
        <c:axId val="430546096"/>
      </c:barChart>
      <c:catAx>
        <c:axId val="43059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46096"/>
        <c:crosses val="autoZero"/>
        <c:auto val="1"/>
        <c:lblAlgn val="ctr"/>
        <c:lblOffset val="100"/>
        <c:noMultiLvlLbl val="0"/>
      </c:catAx>
      <c:valAx>
        <c:axId val="43054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59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Customer_id Vs Purchase_count</a:t>
            </a:r>
          </a:p>
          <a:p>
            <a:pPr>
              <a:defRPr/>
            </a:pPr>
            <a:endParaRPr lang="en-GB"/>
          </a:p>
        </c:rich>
      </c:tx>
      <c:layout>
        <c:manualLayout>
          <c:xMode val="edge"/>
          <c:yMode val="edge"/>
          <c:x val="0.47374300087489063"/>
          <c:y val="8.7962962962962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490266841644794"/>
          <c:y val="0.21375"/>
          <c:w val="0.79064676290463687"/>
          <c:h val="0.6418518518518519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54</c:v>
              </c:pt>
              <c:pt idx="6">
                <c:v>55</c:v>
              </c:pt>
              <c:pt idx="7">
                <c:v>71</c:v>
              </c:pt>
              <c:pt idx="8">
                <c:v>84</c:v>
              </c:pt>
              <c:pt idx="9">
                <c:v>87</c:v>
              </c:pt>
            </c:strLit>
          </c:cat>
          <c:val>
            <c:numLit>
              <c:formatCode>General</c:formatCode>
              <c:ptCount val="10"/>
              <c:pt idx="0">
                <c:v>74</c:v>
              </c:pt>
              <c:pt idx="1">
                <c:v>64</c:v>
              </c:pt>
              <c:pt idx="2">
                <c:v>67</c:v>
              </c:pt>
              <c:pt idx="3">
                <c:v>65</c:v>
              </c:pt>
              <c:pt idx="4">
                <c:v>59</c:v>
              </c:pt>
              <c:pt idx="5">
                <c:v>21</c:v>
              </c:pt>
              <c:pt idx="6">
                <c:v>17</c:v>
              </c:pt>
              <c:pt idx="7">
                <c:v>18</c:v>
              </c:pt>
              <c:pt idx="8">
                <c:v>18</c:v>
              </c:pt>
              <c:pt idx="9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0-C4DF-954D-9D66-18A6B7463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132624"/>
        <c:axId val="743134336"/>
      </c:barChart>
      <c:catAx>
        <c:axId val="7431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4336"/>
        <c:crosses val="autoZero"/>
        <c:auto val="1"/>
        <c:lblAlgn val="ctr"/>
        <c:lblOffset val="100"/>
        <c:noMultiLvlLbl val="0"/>
      </c:catAx>
      <c:valAx>
        <c:axId val="74313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3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Total_revenue Vs</a:t>
            </a:r>
            <a:r>
              <a:rPr lang="en-GB" baseline="0"/>
              <a:t> Customer_id</a:t>
            </a:r>
          </a:p>
          <a:p>
            <a:pPr>
              <a:defRPr/>
            </a:pPr>
            <a:r>
              <a:rPr lang="en-GB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54</c:v>
              </c:pt>
              <c:pt idx="6">
                <c:v>55</c:v>
              </c:pt>
              <c:pt idx="7">
                <c:v>71</c:v>
              </c:pt>
              <c:pt idx="8">
                <c:v>84</c:v>
              </c:pt>
              <c:pt idx="9">
                <c:v>87</c:v>
              </c:pt>
            </c:strLit>
          </c:cat>
          <c:val>
            <c:numLit>
              <c:formatCode>General</c:formatCode>
              <c:ptCount val="10"/>
              <c:pt idx="0">
                <c:v>74</c:v>
              </c:pt>
              <c:pt idx="1">
                <c:v>64</c:v>
              </c:pt>
              <c:pt idx="2">
                <c:v>67</c:v>
              </c:pt>
              <c:pt idx="3">
                <c:v>65</c:v>
              </c:pt>
              <c:pt idx="4">
                <c:v>59</c:v>
              </c:pt>
              <c:pt idx="5">
                <c:v>21</c:v>
              </c:pt>
              <c:pt idx="6">
                <c:v>17</c:v>
              </c:pt>
              <c:pt idx="7">
                <c:v>18</c:v>
              </c:pt>
              <c:pt idx="8">
                <c:v>18</c:v>
              </c:pt>
              <c:pt idx="9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0-6ECD-6047-8602-5D1F50402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3473232"/>
        <c:axId val="713474944"/>
      </c:barChart>
      <c:catAx>
        <c:axId val="71347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74944"/>
        <c:crosses val="autoZero"/>
        <c:auto val="1"/>
        <c:lblAlgn val="ctr"/>
        <c:lblOffset val="100"/>
        <c:noMultiLvlLbl val="0"/>
      </c:catAx>
      <c:valAx>
        <c:axId val="71347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7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Customer_Demographic_Vs_Sale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Dashboard_OgidiP4_SQLP1!$N$2</c:f>
              <c:strCache>
                <c:ptCount val="1"/>
                <c:pt idx="0">
                  <c:v>total_revenue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Dashboard_OgidiP4_SQLP1!$L$3:$M$12</c:f>
              <c:multiLvlStrCache>
                <c:ptCount val="10"/>
                <c:lvl>
                  <c:pt idx="0">
                    <c:v>36-50</c:v>
                  </c:pt>
                  <c:pt idx="1">
                    <c:v>36-50</c:v>
                  </c:pt>
                  <c:pt idx="2">
                    <c:v>26-35</c:v>
                  </c:pt>
                  <c:pt idx="3">
                    <c:v>51-60</c:v>
                  </c:pt>
                  <c:pt idx="4">
                    <c:v>51-60</c:v>
                  </c:pt>
                  <c:pt idx="5">
                    <c:v>18-25</c:v>
                  </c:pt>
                  <c:pt idx="6">
                    <c:v>26-35</c:v>
                  </c:pt>
                  <c:pt idx="7">
                    <c:v>18-25</c:v>
                  </c:pt>
                  <c:pt idx="8">
                    <c:v>61+</c:v>
                  </c:pt>
                  <c:pt idx="9">
                    <c:v>61+</c:v>
                  </c:pt>
                </c:lvl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Female</c:v>
                  </c:pt>
                  <c:pt idx="4">
                    <c:v>Male</c:v>
                  </c:pt>
                  <c:pt idx="5">
                    <c:v>Male</c:v>
                  </c:pt>
                  <c:pt idx="6">
                    <c:v>Male</c:v>
                  </c:pt>
                  <c:pt idx="7">
                    <c:v>Female</c:v>
                  </c:pt>
                  <c:pt idx="8">
                    <c:v>Male</c:v>
                  </c:pt>
                  <c:pt idx="9">
                    <c:v>Female</c:v>
                  </c:pt>
                </c:lvl>
              </c:multiLvlStrCache>
            </c:multiLvlStrRef>
          </c:cat>
          <c:val>
            <c:numRef>
              <c:f>Dashboard_OgidiP4_SQLP1!$N$3:$N$12</c:f>
              <c:numCache>
                <c:formatCode>General</c:formatCode>
                <c:ptCount val="10"/>
                <c:pt idx="0">
                  <c:v>143870</c:v>
                </c:pt>
                <c:pt idx="1">
                  <c:v>138865</c:v>
                </c:pt>
                <c:pt idx="2">
                  <c:v>110140</c:v>
                </c:pt>
                <c:pt idx="3">
                  <c:v>105680</c:v>
                </c:pt>
                <c:pt idx="4">
                  <c:v>91025</c:v>
                </c:pt>
                <c:pt idx="5">
                  <c:v>90110</c:v>
                </c:pt>
                <c:pt idx="6">
                  <c:v>86730</c:v>
                </c:pt>
                <c:pt idx="7">
                  <c:v>78850</c:v>
                </c:pt>
                <c:pt idx="8">
                  <c:v>39590</c:v>
                </c:pt>
                <c:pt idx="9">
                  <c:v>26860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E-DB4B-9FE5-628F4907D624}"/>
            </c:ext>
          </c:extLst>
        </c:ser>
        <c:ser>
          <c:idx val="1"/>
          <c:order val="1"/>
          <c:tx>
            <c:strRef>
              <c:f>Dashboard_OgidiP4_SQLP1!$O$2</c:f>
              <c:strCache>
                <c:ptCount val="1"/>
                <c:pt idx="0">
                  <c:v>purchase_count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Dashboard_OgidiP4_SQLP1!$L$3:$M$12</c:f>
              <c:multiLvlStrCache>
                <c:ptCount val="10"/>
                <c:lvl>
                  <c:pt idx="0">
                    <c:v>36-50</c:v>
                  </c:pt>
                  <c:pt idx="1">
                    <c:v>36-50</c:v>
                  </c:pt>
                  <c:pt idx="2">
                    <c:v>26-35</c:v>
                  </c:pt>
                  <c:pt idx="3">
                    <c:v>51-60</c:v>
                  </c:pt>
                  <c:pt idx="4">
                    <c:v>51-60</c:v>
                  </c:pt>
                  <c:pt idx="5">
                    <c:v>18-25</c:v>
                  </c:pt>
                  <c:pt idx="6">
                    <c:v>26-35</c:v>
                  </c:pt>
                  <c:pt idx="7">
                    <c:v>18-25</c:v>
                  </c:pt>
                  <c:pt idx="8">
                    <c:v>61+</c:v>
                  </c:pt>
                  <c:pt idx="9">
                    <c:v>61+</c:v>
                  </c:pt>
                </c:lvl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Female</c:v>
                  </c:pt>
                  <c:pt idx="4">
                    <c:v>Male</c:v>
                  </c:pt>
                  <c:pt idx="5">
                    <c:v>Male</c:v>
                  </c:pt>
                  <c:pt idx="6">
                    <c:v>Male</c:v>
                  </c:pt>
                  <c:pt idx="7">
                    <c:v>Female</c:v>
                  </c:pt>
                  <c:pt idx="8">
                    <c:v>Male</c:v>
                  </c:pt>
                  <c:pt idx="9">
                    <c:v>Female</c:v>
                  </c:pt>
                </c:lvl>
              </c:multiLvlStrCache>
            </c:multiLvlStrRef>
          </c:cat>
          <c:val>
            <c:numRef>
              <c:f>Dashboard_OgidiP4_SQLP1!$O$3:$O$12</c:f>
              <c:numCache>
                <c:formatCode>General</c:formatCode>
                <c:ptCount val="10"/>
                <c:pt idx="0">
                  <c:v>333</c:v>
                </c:pt>
                <c:pt idx="1">
                  <c:v>302</c:v>
                </c:pt>
                <c:pt idx="2">
                  <c:v>213</c:v>
                </c:pt>
                <c:pt idx="3">
                  <c:v>226</c:v>
                </c:pt>
                <c:pt idx="4">
                  <c:v>205</c:v>
                </c:pt>
                <c:pt idx="5">
                  <c:v>175</c:v>
                </c:pt>
                <c:pt idx="6">
                  <c:v>196</c:v>
                </c:pt>
                <c:pt idx="7">
                  <c:v>161</c:v>
                </c:pt>
                <c:pt idx="8">
                  <c:v>102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E-DB4B-9FE5-628F4907D624}"/>
            </c:ext>
          </c:extLst>
        </c:ser>
        <c:ser>
          <c:idx val="2"/>
          <c:order val="2"/>
          <c:tx>
            <c:strRef>
              <c:f>Dashboard_OgidiP4_SQLP1!$P$2</c:f>
              <c:strCache>
                <c:ptCount val="1"/>
                <c:pt idx="0">
                  <c:v>avg_order_value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Dashboard_OgidiP4_SQLP1!$L$3:$M$12</c:f>
              <c:multiLvlStrCache>
                <c:ptCount val="10"/>
                <c:lvl>
                  <c:pt idx="0">
                    <c:v>36-50</c:v>
                  </c:pt>
                  <c:pt idx="1">
                    <c:v>36-50</c:v>
                  </c:pt>
                  <c:pt idx="2">
                    <c:v>26-35</c:v>
                  </c:pt>
                  <c:pt idx="3">
                    <c:v>51-60</c:v>
                  </c:pt>
                  <c:pt idx="4">
                    <c:v>51-60</c:v>
                  </c:pt>
                  <c:pt idx="5">
                    <c:v>18-25</c:v>
                  </c:pt>
                  <c:pt idx="6">
                    <c:v>26-35</c:v>
                  </c:pt>
                  <c:pt idx="7">
                    <c:v>18-25</c:v>
                  </c:pt>
                  <c:pt idx="8">
                    <c:v>61+</c:v>
                  </c:pt>
                  <c:pt idx="9">
                    <c:v>61+</c:v>
                  </c:pt>
                </c:lvl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Female</c:v>
                  </c:pt>
                  <c:pt idx="4">
                    <c:v>Male</c:v>
                  </c:pt>
                  <c:pt idx="5">
                    <c:v>Male</c:v>
                  </c:pt>
                  <c:pt idx="6">
                    <c:v>Male</c:v>
                  </c:pt>
                  <c:pt idx="7">
                    <c:v>Female</c:v>
                  </c:pt>
                  <c:pt idx="8">
                    <c:v>Male</c:v>
                  </c:pt>
                  <c:pt idx="9">
                    <c:v>Female</c:v>
                  </c:pt>
                </c:lvl>
              </c:multiLvlStrCache>
            </c:multiLvlStrRef>
          </c:cat>
          <c:val>
            <c:numRef>
              <c:f>Dashboard_OgidiP4_SQLP1!$P$3:$P$12</c:f>
              <c:numCache>
                <c:formatCode>General</c:formatCode>
                <c:ptCount val="10"/>
                <c:pt idx="0">
                  <c:v>432.04</c:v>
                </c:pt>
                <c:pt idx="1">
                  <c:v>459.82</c:v>
                </c:pt>
                <c:pt idx="2">
                  <c:v>517.09</c:v>
                </c:pt>
                <c:pt idx="3">
                  <c:v>467.61</c:v>
                </c:pt>
                <c:pt idx="4">
                  <c:v>444.02</c:v>
                </c:pt>
                <c:pt idx="5">
                  <c:v>514.91</c:v>
                </c:pt>
                <c:pt idx="6">
                  <c:v>442.5</c:v>
                </c:pt>
                <c:pt idx="7">
                  <c:v>489.75</c:v>
                </c:pt>
                <c:pt idx="8">
                  <c:v>388.14</c:v>
                </c:pt>
                <c:pt idx="9">
                  <c:v>319.76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5E-DB4B-9FE5-628F4907D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0116080"/>
        <c:axId val="795601712"/>
      </c:barChart>
      <c:catAx>
        <c:axId val="95011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01712"/>
        <c:crosses val="autoZero"/>
        <c:auto val="1"/>
        <c:lblAlgn val="ctr"/>
        <c:lblOffset val="100"/>
        <c:noMultiLvlLbl val="0"/>
      </c:catAx>
      <c:valAx>
        <c:axId val="79560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011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1.xml"/><Relationship Id="rId7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../media/image6.png"/><Relationship Id="rId4" Type="http://schemas.openxmlformats.org/officeDocument/2006/relationships/chart" Target="../charts/chart2.xml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6</xdr:col>
      <xdr:colOff>647700</xdr:colOff>
      <xdr:row>17</xdr:row>
      <xdr:rowOff>101600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3D5B44C-8AD4-3388-ABF0-B7C65032B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11300"/>
          <a:ext cx="5600700" cy="2336800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25400</xdr:rowOff>
    </xdr:from>
    <xdr:to>
      <xdr:col>12</xdr:col>
      <xdr:colOff>254000</xdr:colOff>
      <xdr:row>19</xdr:row>
      <xdr:rowOff>127000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409BC34-2B67-8441-9B58-587E64938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42000" y="1943100"/>
          <a:ext cx="4318000" cy="23368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</xdr:row>
      <xdr:rowOff>0</xdr:rowOff>
    </xdr:from>
    <xdr:to>
      <xdr:col>19</xdr:col>
      <xdr:colOff>581526</xdr:colOff>
      <xdr:row>18</xdr:row>
      <xdr:rowOff>113632</xdr:rowOff>
    </xdr:to>
    <xdr:graphicFrame macro="">
      <xdr:nvGraphicFramePr>
        <xdr:cNvPr id="11" name="Content Placeholder 4">
          <a:extLst>
            <a:ext uri="{FF2B5EF4-FFF2-40B4-BE49-F238E27FC236}">
              <a16:creationId xmlns:a16="http://schemas.microsoft.com/office/drawing/2014/main" id="{50215115-9882-22F9-15A2-C5150A6153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4</xdr:col>
      <xdr:colOff>764674</xdr:colOff>
      <xdr:row>48</xdr:row>
      <xdr:rowOff>52137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481499-BA44-638A-E8EB-14900EFE8F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88900</xdr:colOff>
      <xdr:row>36</xdr:row>
      <xdr:rowOff>38100</xdr:rowOff>
    </xdr:from>
    <xdr:to>
      <xdr:col>9</xdr:col>
      <xdr:colOff>637005</xdr:colOff>
      <xdr:row>48</xdr:row>
      <xdr:rowOff>2165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00F0FF7-1B0B-5DAE-3F1F-B7B520DB7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12700</xdr:colOff>
      <xdr:row>36</xdr:row>
      <xdr:rowOff>12700</xdr:rowOff>
    </xdr:from>
    <xdr:to>
      <xdr:col>20</xdr:col>
      <xdr:colOff>437816</xdr:colOff>
      <xdr:row>48</xdr:row>
      <xdr:rowOff>197184</xdr:rowOff>
    </xdr:to>
    <xdr:graphicFrame macro="">
      <xdr:nvGraphicFramePr>
        <xdr:cNvPr id="16" name="Content Placeholder 4">
          <a:extLst>
            <a:ext uri="{FF2B5EF4-FFF2-40B4-BE49-F238E27FC236}">
              <a16:creationId xmlns:a16="http://schemas.microsoft.com/office/drawing/2014/main" id="{1E27A5D2-E60A-7CCE-BA57-4AD492D6826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0</xdr:colOff>
      <xdr:row>52</xdr:row>
      <xdr:rowOff>190500</xdr:rowOff>
    </xdr:from>
    <xdr:to>
      <xdr:col>6</xdr:col>
      <xdr:colOff>685800</xdr:colOff>
      <xdr:row>67</xdr:row>
      <xdr:rowOff>190500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E1A01B9-6C7C-174D-8E74-8A080BFDD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214100"/>
          <a:ext cx="5638800" cy="3048000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56</xdr:row>
      <xdr:rowOff>177800</xdr:rowOff>
    </xdr:from>
    <xdr:to>
      <xdr:col>13</xdr:col>
      <xdr:colOff>88900</xdr:colOff>
      <xdr:row>68</xdr:row>
      <xdr:rowOff>165100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A9BE7EC-4BDF-CC4B-93DC-5840E52B1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43600" y="12014200"/>
          <a:ext cx="4876800" cy="2425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5</xdr:col>
      <xdr:colOff>317500</xdr:colOff>
      <xdr:row>81</xdr:row>
      <xdr:rowOff>25400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D76E84E-684E-2A4E-8312-AEE3CE064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4681200"/>
          <a:ext cx="4445000" cy="22987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76</xdr:row>
      <xdr:rowOff>0</xdr:rowOff>
    </xdr:from>
    <xdr:to>
      <xdr:col>14</xdr:col>
      <xdr:colOff>673100</xdr:colOff>
      <xdr:row>90</xdr:row>
      <xdr:rowOff>12700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E5C7034-EAC9-1F42-8D2A-6FA8FD46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04000" y="15900400"/>
          <a:ext cx="5626100" cy="285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673100</xdr:colOff>
      <xdr:row>1</xdr:row>
      <xdr:rowOff>76200</xdr:rowOff>
    </xdr:from>
    <xdr:to>
      <xdr:col>6</xdr:col>
      <xdr:colOff>165100</xdr:colOff>
      <xdr:row>12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0D5985-6266-D479-5164-41FEAF5F8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3100" y="279400"/>
          <a:ext cx="4445000" cy="229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139700</xdr:rowOff>
    </xdr:from>
    <xdr:to>
      <xdr:col>7</xdr:col>
      <xdr:colOff>749300</xdr:colOff>
      <xdr:row>15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63A0A6-19C7-D327-678C-B1FF214C1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39700"/>
          <a:ext cx="5638800" cy="30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0</xdr:row>
      <xdr:rowOff>127000</xdr:rowOff>
    </xdr:from>
    <xdr:to>
      <xdr:col>6</xdr:col>
      <xdr:colOff>762000</xdr:colOff>
      <xdr:row>12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3B75B8-1016-2517-3429-62160C65C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127000"/>
          <a:ext cx="4876800" cy="242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190500</xdr:colOff>
      <xdr:row>11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5B08C3-B2B9-F2B4-F299-D79BD4ED1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18000" cy="2336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647700</xdr:colOff>
      <xdr:row>11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6B3AF5C-D288-A0BE-9899-4DE9329DD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600700" cy="2336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190500</xdr:colOff>
      <xdr:row>11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B93405-9EB8-CA44-B630-2714DC10D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18000" cy="2336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482600</xdr:colOff>
      <xdr:row>0</xdr:row>
      <xdr:rowOff>127000</xdr:rowOff>
    </xdr:from>
    <xdr:to>
      <xdr:col>7</xdr:col>
      <xdr:colOff>330200</xdr:colOff>
      <xdr:row>14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416F85-D19C-1C33-005D-9C68D4C26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2600" y="127000"/>
          <a:ext cx="5626100" cy="2857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190500</xdr:colOff>
      <xdr:row>11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74D77D-107C-87A4-52D4-3A100F7C7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18000" cy="233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27E2D-6659-8E46-9B25-19DD5AEEB8EB}">
  <dimension ref="A1:R56"/>
  <sheetViews>
    <sheetView workbookViewId="0"/>
  </sheetViews>
  <sheetFormatPr baseColWidth="10" defaultRowHeight="16" x14ac:dyDescent="0.2"/>
  <sheetData>
    <row r="1" spans="1:18" x14ac:dyDescent="0.2">
      <c r="A1" t="s">
        <v>0</v>
      </c>
      <c r="L1" t="s">
        <v>1</v>
      </c>
    </row>
    <row r="2" spans="1:18" x14ac:dyDescent="0.2">
      <c r="L2" t="s">
        <v>2</v>
      </c>
      <c r="M2" t="s">
        <v>3</v>
      </c>
      <c r="N2" t="s">
        <v>4</v>
      </c>
      <c r="O2" t="s">
        <v>5</v>
      </c>
      <c r="P2" t="s">
        <v>6</v>
      </c>
      <c r="R2" t="s">
        <v>7</v>
      </c>
    </row>
    <row r="3" spans="1:18" x14ac:dyDescent="0.2">
      <c r="G3" t="s">
        <v>8</v>
      </c>
      <c r="H3" t="s">
        <v>4</v>
      </c>
      <c r="I3" t="s">
        <v>5</v>
      </c>
      <c r="L3" t="s">
        <v>9</v>
      </c>
      <c r="M3" t="s">
        <v>10</v>
      </c>
      <c r="N3">
        <v>143870</v>
      </c>
      <c r="O3">
        <v>333</v>
      </c>
      <c r="P3">
        <v>432.04</v>
      </c>
      <c r="R3" t="s">
        <v>11</v>
      </c>
    </row>
    <row r="4" spans="1:18" x14ac:dyDescent="0.2">
      <c r="G4">
        <v>3</v>
      </c>
      <c r="H4">
        <v>38440</v>
      </c>
      <c r="I4">
        <v>67</v>
      </c>
      <c r="L4" t="s">
        <v>12</v>
      </c>
      <c r="M4" t="s">
        <v>10</v>
      </c>
      <c r="N4">
        <v>138865</v>
      </c>
      <c r="O4">
        <v>302</v>
      </c>
      <c r="P4">
        <v>459.82</v>
      </c>
      <c r="R4" t="s">
        <v>13</v>
      </c>
    </row>
    <row r="5" spans="1:18" x14ac:dyDescent="0.2">
      <c r="G5">
        <v>1</v>
      </c>
      <c r="H5">
        <v>30750</v>
      </c>
      <c r="I5">
        <v>74</v>
      </c>
      <c r="L5" t="s">
        <v>9</v>
      </c>
      <c r="M5" t="s">
        <v>14</v>
      </c>
      <c r="N5">
        <v>110140</v>
      </c>
      <c r="O5">
        <v>213</v>
      </c>
      <c r="P5">
        <v>517.09</v>
      </c>
    </row>
    <row r="6" spans="1:18" x14ac:dyDescent="0.2">
      <c r="G6">
        <v>5</v>
      </c>
      <c r="H6">
        <v>30405</v>
      </c>
      <c r="I6">
        <v>59</v>
      </c>
      <c r="L6" t="s">
        <v>9</v>
      </c>
      <c r="M6" t="s">
        <v>15</v>
      </c>
      <c r="N6">
        <v>105680</v>
      </c>
      <c r="O6">
        <v>226</v>
      </c>
      <c r="P6">
        <v>467.61</v>
      </c>
    </row>
    <row r="7" spans="1:18" x14ac:dyDescent="0.2">
      <c r="G7">
        <v>2</v>
      </c>
      <c r="H7">
        <v>25295</v>
      </c>
      <c r="I7">
        <v>64</v>
      </c>
      <c r="L7" t="s">
        <v>12</v>
      </c>
      <c r="M7" t="s">
        <v>15</v>
      </c>
      <c r="N7">
        <v>91025</v>
      </c>
      <c r="O7">
        <v>205</v>
      </c>
      <c r="P7">
        <v>444.02</v>
      </c>
    </row>
    <row r="8" spans="1:18" x14ac:dyDescent="0.2">
      <c r="G8">
        <v>4</v>
      </c>
      <c r="H8">
        <v>23580</v>
      </c>
      <c r="I8">
        <v>65</v>
      </c>
      <c r="L8" t="s">
        <v>12</v>
      </c>
      <c r="M8" t="s">
        <v>16</v>
      </c>
      <c r="N8">
        <v>90110</v>
      </c>
      <c r="O8">
        <v>175</v>
      </c>
      <c r="P8">
        <v>514.91</v>
      </c>
    </row>
    <row r="9" spans="1:18" x14ac:dyDescent="0.2">
      <c r="G9">
        <v>87</v>
      </c>
      <c r="H9">
        <v>15855</v>
      </c>
      <c r="I9">
        <v>23</v>
      </c>
      <c r="L9" t="s">
        <v>12</v>
      </c>
      <c r="M9" t="s">
        <v>14</v>
      </c>
      <c r="N9">
        <v>86730</v>
      </c>
      <c r="O9">
        <v>196</v>
      </c>
      <c r="P9">
        <v>442.5</v>
      </c>
    </row>
    <row r="10" spans="1:18" x14ac:dyDescent="0.2">
      <c r="G10">
        <v>54</v>
      </c>
      <c r="H10">
        <v>13475</v>
      </c>
      <c r="I10">
        <v>21</v>
      </c>
      <c r="L10" t="s">
        <v>9</v>
      </c>
      <c r="M10" t="s">
        <v>16</v>
      </c>
      <c r="N10">
        <v>78850</v>
      </c>
      <c r="O10">
        <v>161</v>
      </c>
      <c r="P10">
        <v>489.75</v>
      </c>
    </row>
    <row r="11" spans="1:18" x14ac:dyDescent="0.2">
      <c r="G11">
        <v>71</v>
      </c>
      <c r="H11">
        <v>12790</v>
      </c>
      <c r="I11">
        <v>18</v>
      </c>
      <c r="L11" t="s">
        <v>12</v>
      </c>
      <c r="M11" t="s">
        <v>17</v>
      </c>
      <c r="N11">
        <v>39590</v>
      </c>
      <c r="O11">
        <v>102</v>
      </c>
      <c r="P11">
        <v>388.14</v>
      </c>
    </row>
    <row r="12" spans="1:18" x14ac:dyDescent="0.2">
      <c r="G12">
        <v>55</v>
      </c>
      <c r="H12">
        <v>12080</v>
      </c>
      <c r="I12">
        <v>17</v>
      </c>
      <c r="L12" t="s">
        <v>9</v>
      </c>
      <c r="M12" t="s">
        <v>17</v>
      </c>
      <c r="N12">
        <v>26860</v>
      </c>
      <c r="O12">
        <v>84</v>
      </c>
      <c r="P12">
        <v>319.76</v>
      </c>
    </row>
    <row r="13" spans="1:18" x14ac:dyDescent="0.2">
      <c r="G13">
        <v>84</v>
      </c>
      <c r="H13">
        <v>11730</v>
      </c>
      <c r="I13">
        <v>18</v>
      </c>
    </row>
    <row r="16" spans="1:18" x14ac:dyDescent="0.2">
      <c r="G16" t="s">
        <v>7</v>
      </c>
    </row>
    <row r="17" spans="1:10" x14ac:dyDescent="0.2">
      <c r="G17" t="s">
        <v>18</v>
      </c>
    </row>
    <row r="18" spans="1:10" x14ac:dyDescent="0.2">
      <c r="G18" t="s">
        <v>19</v>
      </c>
    </row>
    <row r="19" spans="1:10" x14ac:dyDescent="0.2">
      <c r="G19" t="s">
        <v>20</v>
      </c>
    </row>
    <row r="20" spans="1:10" x14ac:dyDescent="0.2">
      <c r="G20" t="s">
        <v>21</v>
      </c>
    </row>
    <row r="28" spans="1:10" x14ac:dyDescent="0.2">
      <c r="A28" t="s">
        <v>22</v>
      </c>
      <c r="C28" t="s">
        <v>7</v>
      </c>
    </row>
    <row r="29" spans="1:10" x14ac:dyDescent="0.2">
      <c r="C29" t="s">
        <v>23</v>
      </c>
      <c r="J29" t="s">
        <v>24</v>
      </c>
    </row>
    <row r="30" spans="1:10" x14ac:dyDescent="0.2">
      <c r="C30" t="s">
        <v>25</v>
      </c>
      <c r="J30" t="s">
        <v>7</v>
      </c>
    </row>
    <row r="31" spans="1:10" x14ac:dyDescent="0.2">
      <c r="C31" t="s">
        <v>26</v>
      </c>
      <c r="J31" t="s">
        <v>27</v>
      </c>
    </row>
    <row r="32" spans="1:10" x14ac:dyDescent="0.2">
      <c r="F32" t="s">
        <v>28</v>
      </c>
      <c r="G32" t="s">
        <v>29</v>
      </c>
    </row>
    <row r="33" spans="6:7" x14ac:dyDescent="0.2">
      <c r="F33" t="s">
        <v>30</v>
      </c>
      <c r="G33">
        <v>45</v>
      </c>
    </row>
    <row r="34" spans="6:7" x14ac:dyDescent="0.2">
      <c r="F34" t="s">
        <v>31</v>
      </c>
      <c r="G34">
        <v>85</v>
      </c>
    </row>
    <row r="35" spans="6:7" x14ac:dyDescent="0.2">
      <c r="F35" t="s">
        <v>32</v>
      </c>
      <c r="G35">
        <v>25</v>
      </c>
    </row>
    <row r="39" spans="6:7" x14ac:dyDescent="0.2">
      <c r="F39" t="s">
        <v>28</v>
      </c>
      <c r="G39" t="s">
        <v>29</v>
      </c>
    </row>
    <row r="40" spans="6:7" x14ac:dyDescent="0.2">
      <c r="F40" t="s">
        <v>30</v>
      </c>
      <c r="G40">
        <v>66</v>
      </c>
    </row>
    <row r="41" spans="6:7" x14ac:dyDescent="0.2">
      <c r="F41" t="s">
        <v>31</v>
      </c>
      <c r="G41">
        <v>89</v>
      </c>
    </row>
    <row r="49" spans="1:12" x14ac:dyDescent="0.2">
      <c r="A49" t="s">
        <v>33</v>
      </c>
    </row>
    <row r="53" spans="1:12" x14ac:dyDescent="0.2">
      <c r="H53" t="s">
        <v>34</v>
      </c>
      <c r="I53" t="s">
        <v>35</v>
      </c>
      <c r="J53" t="s">
        <v>36</v>
      </c>
      <c r="K53" t="s">
        <v>37</v>
      </c>
      <c r="L53" t="s">
        <v>38</v>
      </c>
    </row>
    <row r="54" spans="1:12" x14ac:dyDescent="0.2">
      <c r="H54" t="s">
        <v>39</v>
      </c>
      <c r="I54">
        <v>311070</v>
      </c>
      <c r="J54">
        <v>64390.5</v>
      </c>
      <c r="K54">
        <v>246679.5</v>
      </c>
      <c r="L54">
        <v>79.3</v>
      </c>
    </row>
    <row r="55" spans="1:12" x14ac:dyDescent="0.2">
      <c r="H55" t="s">
        <v>40</v>
      </c>
      <c r="I55">
        <v>313810</v>
      </c>
      <c r="J55">
        <v>67162.350000000006</v>
      </c>
      <c r="K55">
        <v>246647.65</v>
      </c>
      <c r="L55">
        <v>78.599999999999994</v>
      </c>
    </row>
    <row r="56" spans="1:12" x14ac:dyDescent="0.2">
      <c r="H56" t="s">
        <v>41</v>
      </c>
      <c r="I56">
        <v>286840</v>
      </c>
      <c r="J56">
        <v>58209.85</v>
      </c>
      <c r="K56">
        <v>228630.15</v>
      </c>
      <c r="L56">
        <v>79.709999999999994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788D-8C12-F74A-A9D3-C1DFED9C2250}">
  <dimension ref="A1:S82"/>
  <sheetViews>
    <sheetView tabSelected="1" workbookViewId="0">
      <selection activeCell="J3" sqref="J3"/>
    </sheetView>
  </sheetViews>
  <sheetFormatPr baseColWidth="10" defaultRowHeight="16" x14ac:dyDescent="0.2"/>
  <sheetData>
    <row r="1" spans="1:14" ht="31" x14ac:dyDescent="0.35">
      <c r="A1" s="1" t="s">
        <v>43</v>
      </c>
    </row>
    <row r="2" spans="1:14" x14ac:dyDescent="0.2">
      <c r="B2" t="s">
        <v>42</v>
      </c>
    </row>
    <row r="3" spans="1:14" ht="21" x14ac:dyDescent="0.25">
      <c r="A3" s="2" t="s">
        <v>33</v>
      </c>
      <c r="N3" s="5" t="s">
        <v>58</v>
      </c>
    </row>
    <row r="4" spans="1:14" ht="19" x14ac:dyDescent="0.25">
      <c r="A4" s="3" t="s">
        <v>7</v>
      </c>
      <c r="N4" t="s">
        <v>59</v>
      </c>
    </row>
    <row r="5" spans="1:14" x14ac:dyDescent="0.2">
      <c r="A5" t="s">
        <v>44</v>
      </c>
    </row>
    <row r="20" spans="1:17" x14ac:dyDescent="0.2">
      <c r="A20" t="s">
        <v>35</v>
      </c>
      <c r="B20" t="s">
        <v>37</v>
      </c>
      <c r="C20" t="s">
        <v>45</v>
      </c>
    </row>
    <row r="21" spans="1:17" x14ac:dyDescent="0.2">
      <c r="A21">
        <v>50630</v>
      </c>
      <c r="B21">
        <v>42234.65</v>
      </c>
      <c r="C21" s="4" t="s">
        <v>46</v>
      </c>
    </row>
    <row r="22" spans="1:17" x14ac:dyDescent="0.2">
      <c r="A22">
        <v>49465</v>
      </c>
      <c r="B22">
        <v>41080.9</v>
      </c>
      <c r="C22" s="4" t="s">
        <v>47</v>
      </c>
      <c r="N22" s="6"/>
    </row>
    <row r="23" spans="1:17" x14ac:dyDescent="0.2">
      <c r="A23">
        <v>142025</v>
      </c>
      <c r="B23">
        <v>109035.5</v>
      </c>
      <c r="C23" s="4" t="s">
        <v>48</v>
      </c>
      <c r="N23" t="s">
        <v>60</v>
      </c>
      <c r="O23" t="s">
        <v>61</v>
      </c>
      <c r="P23" t="s">
        <v>62</v>
      </c>
      <c r="Q23" t="s">
        <v>63</v>
      </c>
    </row>
    <row r="24" spans="1:17" x14ac:dyDescent="0.2">
      <c r="A24">
        <v>41280</v>
      </c>
      <c r="B24">
        <v>34536.25</v>
      </c>
      <c r="C24" s="4" t="s">
        <v>49</v>
      </c>
      <c r="N24" t="s">
        <v>41</v>
      </c>
      <c r="O24">
        <v>286840</v>
      </c>
      <c r="P24">
        <v>228630.15</v>
      </c>
      <c r="Q24">
        <v>58209.85</v>
      </c>
    </row>
    <row r="25" spans="1:17" x14ac:dyDescent="0.2">
      <c r="A25">
        <v>46425</v>
      </c>
      <c r="B25">
        <v>39444.550000000003</v>
      </c>
      <c r="C25" s="4" t="s">
        <v>50</v>
      </c>
      <c r="N25" t="s">
        <v>39</v>
      </c>
      <c r="O25">
        <v>311070</v>
      </c>
      <c r="P25">
        <v>246679.5</v>
      </c>
      <c r="Q25">
        <v>64390.5</v>
      </c>
    </row>
    <row r="26" spans="1:17" x14ac:dyDescent="0.2">
      <c r="A26">
        <v>58120</v>
      </c>
      <c r="B26">
        <v>48565</v>
      </c>
      <c r="C26" s="4" t="s">
        <v>51</v>
      </c>
      <c r="N26" t="s">
        <v>40</v>
      </c>
      <c r="O26">
        <v>313810</v>
      </c>
      <c r="P26">
        <v>246647.65</v>
      </c>
      <c r="Q26">
        <v>67162.350000000006</v>
      </c>
    </row>
    <row r="27" spans="1:17" x14ac:dyDescent="0.2">
      <c r="A27">
        <v>45255</v>
      </c>
      <c r="B27">
        <v>37456.35</v>
      </c>
      <c r="C27" s="4" t="s">
        <v>52</v>
      </c>
      <c r="N27" t="s">
        <v>64</v>
      </c>
    </row>
    <row r="28" spans="1:17" x14ac:dyDescent="0.2">
      <c r="A28">
        <v>45035</v>
      </c>
      <c r="B28">
        <v>37739.1</v>
      </c>
      <c r="C28" s="4" t="s">
        <v>53</v>
      </c>
      <c r="N28" t="s">
        <v>65</v>
      </c>
      <c r="O28">
        <v>911720</v>
      </c>
      <c r="P28">
        <v>721957.3</v>
      </c>
      <c r="Q28">
        <v>189762.7</v>
      </c>
    </row>
    <row r="29" spans="1:17" x14ac:dyDescent="0.2">
      <c r="A29">
        <v>51990</v>
      </c>
      <c r="B29">
        <v>43553.45</v>
      </c>
      <c r="C29" s="4" t="s">
        <v>54</v>
      </c>
    </row>
    <row r="30" spans="1:17" x14ac:dyDescent="0.2">
      <c r="A30">
        <v>126050</v>
      </c>
      <c r="B30">
        <v>97515.45</v>
      </c>
      <c r="C30" s="4" t="s">
        <v>55</v>
      </c>
    </row>
    <row r="31" spans="1:17" x14ac:dyDescent="0.2">
      <c r="A31">
        <v>126115</v>
      </c>
      <c r="B31">
        <v>91749.9</v>
      </c>
      <c r="C31" s="4" t="s">
        <v>56</v>
      </c>
    </row>
    <row r="32" spans="1:17" x14ac:dyDescent="0.2">
      <c r="A32">
        <v>129330</v>
      </c>
      <c r="B32">
        <v>99046.2</v>
      </c>
      <c r="C32" s="4" t="s">
        <v>57</v>
      </c>
    </row>
    <row r="34" spans="1:15" ht="21" x14ac:dyDescent="0.25">
      <c r="A34" s="7" t="s">
        <v>66</v>
      </c>
      <c r="O34" s="9" t="s">
        <v>68</v>
      </c>
    </row>
    <row r="35" spans="1:15" x14ac:dyDescent="0.2">
      <c r="A35" s="8" t="s">
        <v>67</v>
      </c>
    </row>
    <row r="37" spans="1:15" x14ac:dyDescent="0.2">
      <c r="K37" t="s">
        <v>8</v>
      </c>
      <c r="L37" t="s">
        <v>4</v>
      </c>
      <c r="M37" t="s">
        <v>5</v>
      </c>
    </row>
    <row r="38" spans="1:15" x14ac:dyDescent="0.2">
      <c r="K38">
        <v>3</v>
      </c>
      <c r="L38">
        <v>38440</v>
      </c>
      <c r="M38">
        <v>67</v>
      </c>
    </row>
    <row r="39" spans="1:15" x14ac:dyDescent="0.2">
      <c r="K39">
        <v>1</v>
      </c>
      <c r="L39">
        <v>30750</v>
      </c>
      <c r="M39">
        <v>74</v>
      </c>
    </row>
    <row r="40" spans="1:15" x14ac:dyDescent="0.2">
      <c r="K40">
        <v>5</v>
      </c>
      <c r="L40">
        <v>30405</v>
      </c>
      <c r="M40">
        <v>59</v>
      </c>
    </row>
    <row r="41" spans="1:15" x14ac:dyDescent="0.2">
      <c r="K41">
        <v>2</v>
      </c>
      <c r="L41">
        <v>25293</v>
      </c>
      <c r="M41">
        <v>64</v>
      </c>
    </row>
    <row r="42" spans="1:15" x14ac:dyDescent="0.2">
      <c r="K42">
        <v>4</v>
      </c>
      <c r="L42">
        <v>23580</v>
      </c>
      <c r="M42">
        <v>65</v>
      </c>
    </row>
    <row r="43" spans="1:15" x14ac:dyDescent="0.2">
      <c r="K43">
        <v>87</v>
      </c>
      <c r="L43">
        <v>15855</v>
      </c>
      <c r="M43">
        <v>23</v>
      </c>
    </row>
    <row r="44" spans="1:15" x14ac:dyDescent="0.2">
      <c r="K44">
        <v>54</v>
      </c>
      <c r="L44">
        <v>13475</v>
      </c>
      <c r="M44">
        <v>121</v>
      </c>
    </row>
    <row r="45" spans="1:15" x14ac:dyDescent="0.2">
      <c r="K45">
        <v>71</v>
      </c>
      <c r="L45">
        <v>12790</v>
      </c>
      <c r="M45">
        <v>18</v>
      </c>
    </row>
    <row r="46" spans="1:15" x14ac:dyDescent="0.2">
      <c r="K46">
        <v>55</v>
      </c>
      <c r="L46">
        <v>12080</v>
      </c>
      <c r="M46">
        <v>17</v>
      </c>
    </row>
    <row r="47" spans="1:15" x14ac:dyDescent="0.2">
      <c r="K47">
        <v>84</v>
      </c>
      <c r="L47">
        <v>11730</v>
      </c>
      <c r="M47">
        <v>18</v>
      </c>
    </row>
    <row r="51" spans="1:19" ht="21" x14ac:dyDescent="0.25">
      <c r="A51" s="10" t="s">
        <v>69</v>
      </c>
      <c r="O51" t="s">
        <v>2</v>
      </c>
      <c r="P51" t="s">
        <v>3</v>
      </c>
      <c r="Q51" t="s">
        <v>4</v>
      </c>
      <c r="R51" t="s">
        <v>5</v>
      </c>
      <c r="S51" t="s">
        <v>6</v>
      </c>
    </row>
    <row r="52" spans="1:19" ht="19" x14ac:dyDescent="0.25">
      <c r="A52" s="11" t="s">
        <v>70</v>
      </c>
      <c r="O52" t="s">
        <v>9</v>
      </c>
      <c r="P52" t="s">
        <v>10</v>
      </c>
      <c r="Q52">
        <v>143870</v>
      </c>
      <c r="R52">
        <v>333</v>
      </c>
      <c r="S52">
        <v>432.04</v>
      </c>
    </row>
    <row r="53" spans="1:19" x14ac:dyDescent="0.2">
      <c r="O53" t="s">
        <v>12</v>
      </c>
      <c r="P53" t="s">
        <v>10</v>
      </c>
      <c r="Q53">
        <v>138865</v>
      </c>
      <c r="R53">
        <v>302</v>
      </c>
      <c r="S53">
        <v>459.82</v>
      </c>
    </row>
    <row r="54" spans="1:19" x14ac:dyDescent="0.2">
      <c r="O54" t="s">
        <v>9</v>
      </c>
      <c r="P54" t="s">
        <v>14</v>
      </c>
      <c r="Q54">
        <v>110140</v>
      </c>
      <c r="R54">
        <v>213</v>
      </c>
      <c r="S54">
        <v>517.09</v>
      </c>
    </row>
    <row r="55" spans="1:19" x14ac:dyDescent="0.2">
      <c r="O55" t="s">
        <v>9</v>
      </c>
      <c r="P55" t="s">
        <v>15</v>
      </c>
      <c r="Q55">
        <v>105680</v>
      </c>
      <c r="R55">
        <v>226</v>
      </c>
      <c r="S55">
        <v>467.61</v>
      </c>
    </row>
    <row r="56" spans="1:19" x14ac:dyDescent="0.2">
      <c r="O56" t="s">
        <v>12</v>
      </c>
      <c r="P56" t="s">
        <v>15</v>
      </c>
      <c r="Q56">
        <v>91025</v>
      </c>
      <c r="R56">
        <v>205</v>
      </c>
      <c r="S56">
        <v>444.02</v>
      </c>
    </row>
    <row r="57" spans="1:19" x14ac:dyDescent="0.2">
      <c r="O57" t="s">
        <v>12</v>
      </c>
      <c r="P57" t="s">
        <v>16</v>
      </c>
      <c r="Q57">
        <v>90110</v>
      </c>
      <c r="R57">
        <v>175</v>
      </c>
      <c r="S57">
        <v>514.91</v>
      </c>
    </row>
    <row r="58" spans="1:19" x14ac:dyDescent="0.2">
      <c r="O58" t="s">
        <v>12</v>
      </c>
      <c r="P58" t="s">
        <v>14</v>
      </c>
      <c r="Q58">
        <v>86730</v>
      </c>
      <c r="R58">
        <v>196</v>
      </c>
      <c r="S58">
        <v>442.5</v>
      </c>
    </row>
    <row r="59" spans="1:19" x14ac:dyDescent="0.2">
      <c r="O59" t="s">
        <v>9</v>
      </c>
      <c r="P59" t="s">
        <v>16</v>
      </c>
      <c r="Q59">
        <v>78850</v>
      </c>
      <c r="R59">
        <v>161</v>
      </c>
      <c r="S59">
        <v>489.75</v>
      </c>
    </row>
    <row r="60" spans="1:19" x14ac:dyDescent="0.2">
      <c r="O60" t="s">
        <v>12</v>
      </c>
      <c r="P60" t="s">
        <v>17</v>
      </c>
      <c r="Q60">
        <v>39590</v>
      </c>
      <c r="R60">
        <v>102</v>
      </c>
      <c r="S60">
        <v>388.14</v>
      </c>
    </row>
    <row r="61" spans="1:19" x14ac:dyDescent="0.2">
      <c r="O61" t="s">
        <v>9</v>
      </c>
      <c r="P61" t="s">
        <v>17</v>
      </c>
      <c r="Q61">
        <v>26860</v>
      </c>
      <c r="R61">
        <v>84</v>
      </c>
      <c r="S61">
        <v>319.76</v>
      </c>
    </row>
    <row r="74" spans="9:17" ht="19" x14ac:dyDescent="0.25">
      <c r="I74" s="12" t="s">
        <v>71</v>
      </c>
    </row>
    <row r="79" spans="9:17" x14ac:dyDescent="0.2">
      <c r="P79" t="s">
        <v>28</v>
      </c>
      <c r="Q79" t="s">
        <v>29</v>
      </c>
    </row>
    <row r="80" spans="9:17" x14ac:dyDescent="0.2">
      <c r="P80" t="s">
        <v>30</v>
      </c>
      <c r="Q80">
        <v>45</v>
      </c>
    </row>
    <row r="81" spans="16:17" x14ac:dyDescent="0.2">
      <c r="P81" t="s">
        <v>31</v>
      </c>
      <c r="Q81">
        <v>85</v>
      </c>
    </row>
    <row r="82" spans="16:17" x14ac:dyDescent="0.2">
      <c r="P82" t="s">
        <v>32</v>
      </c>
      <c r="Q8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8E86-457F-9B41-BD1C-33D2B8FE845F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EF191-D078-B14F-9DDB-52C543F34464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F60A-89ED-D64D-8C5F-BD954E67E2FF}">
  <dimension ref="A1"/>
  <sheetViews>
    <sheetView workbookViewId="0">
      <selection activeCell="J4" sqref="J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44057-75AC-A042-A94E-915694A7AB6A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B198E-D2D6-6A45-912D-0CF42F5574E9}">
  <dimension ref="H2:J12"/>
  <sheetViews>
    <sheetView workbookViewId="0">
      <selection activeCell="H2" sqref="H2:J12"/>
    </sheetView>
  </sheetViews>
  <sheetFormatPr baseColWidth="10" defaultRowHeight="16" x14ac:dyDescent="0.2"/>
  <cols>
    <col min="9" max="9" width="12.1640625" customWidth="1"/>
    <col min="10" max="10" width="14.33203125" customWidth="1"/>
  </cols>
  <sheetData>
    <row r="2" spans="8:10" x14ac:dyDescent="0.2">
      <c r="H2" t="s">
        <v>8</v>
      </c>
      <c r="I2" t="s">
        <v>4</v>
      </c>
      <c r="J2" t="s">
        <v>5</v>
      </c>
    </row>
    <row r="3" spans="8:10" x14ac:dyDescent="0.2">
      <c r="H3">
        <v>3</v>
      </c>
      <c r="I3">
        <v>38440</v>
      </c>
      <c r="J3">
        <v>67</v>
      </c>
    </row>
    <row r="4" spans="8:10" x14ac:dyDescent="0.2">
      <c r="H4">
        <v>1</v>
      </c>
      <c r="I4">
        <v>30750</v>
      </c>
      <c r="J4">
        <v>74</v>
      </c>
    </row>
    <row r="5" spans="8:10" x14ac:dyDescent="0.2">
      <c r="H5">
        <v>5</v>
      </c>
      <c r="I5">
        <v>30405</v>
      </c>
      <c r="J5">
        <v>59</v>
      </c>
    </row>
    <row r="6" spans="8:10" x14ac:dyDescent="0.2">
      <c r="H6">
        <v>2</v>
      </c>
      <c r="I6">
        <v>25293</v>
      </c>
      <c r="J6">
        <v>64</v>
      </c>
    </row>
    <row r="7" spans="8:10" x14ac:dyDescent="0.2">
      <c r="H7">
        <v>4</v>
      </c>
      <c r="I7">
        <v>23580</v>
      </c>
      <c r="J7">
        <v>65</v>
      </c>
    </row>
    <row r="8" spans="8:10" x14ac:dyDescent="0.2">
      <c r="H8">
        <v>87</v>
      </c>
      <c r="I8">
        <v>15855</v>
      </c>
      <c r="J8">
        <v>23</v>
      </c>
    </row>
    <row r="9" spans="8:10" x14ac:dyDescent="0.2">
      <c r="H9">
        <v>54</v>
      </c>
      <c r="I9">
        <v>13475</v>
      </c>
      <c r="J9">
        <v>121</v>
      </c>
    </row>
    <row r="10" spans="8:10" x14ac:dyDescent="0.2">
      <c r="H10">
        <v>71</v>
      </c>
      <c r="I10">
        <v>12790</v>
      </c>
      <c r="J10">
        <v>18</v>
      </c>
    </row>
    <row r="11" spans="8:10" x14ac:dyDescent="0.2">
      <c r="H11">
        <v>55</v>
      </c>
      <c r="I11">
        <v>12080</v>
      </c>
      <c r="J11">
        <v>17</v>
      </c>
    </row>
    <row r="12" spans="8:10" x14ac:dyDescent="0.2">
      <c r="H12">
        <v>84</v>
      </c>
      <c r="I12">
        <v>11730</v>
      </c>
      <c r="J12">
        <v>18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FD702-9976-0A4A-BAEA-02AE6EC8660C}">
  <dimension ref="A1"/>
  <sheetViews>
    <sheetView workbookViewId="0">
      <selection activeCell="A14" sqref="A1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97C7A-3116-5540-826F-2508D33BC115}">
  <dimension ref="A1"/>
  <sheetViews>
    <sheetView workbookViewId="0">
      <selection activeCell="E13" sqref="D5:E13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A161-8294-8845-8D2F-3BC2A2E17D51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A89CF-6675-A742-827F-7B946699A7A1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Dashboard_OgidiP4_SQLP1</vt:lpstr>
      <vt:lpstr>Dashboard_Chekaf_OgidiP4_SQLP1</vt:lpstr>
      <vt:lpstr>Sheet8</vt:lpstr>
      <vt:lpstr>Sheet6</vt:lpstr>
      <vt:lpstr>Sheet1</vt:lpstr>
      <vt:lpstr>Sheet7</vt:lpstr>
      <vt:lpstr>Sheet3</vt:lpstr>
      <vt:lpstr>Sheet2</vt:lpstr>
      <vt:lpstr>Sheet4</vt:lpstr>
      <vt:lpstr>Sheet9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Chek Okafor</dc:creator>
  <cp:lastModifiedBy>Emmanuel Chek Okafor</cp:lastModifiedBy>
  <dcterms:created xsi:type="dcterms:W3CDTF">2026-01-02T12:28:19Z</dcterms:created>
  <dcterms:modified xsi:type="dcterms:W3CDTF">2026-01-02T13:30:48Z</dcterms:modified>
</cp:coreProperties>
</file>